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_O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<sst xmlns="http://schemas.openxmlformats.org/spreadsheetml/2006/main" count="49" uniqueCount="47">
  <si>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Payroll Register</t>
  </si>
  <si>
    <t xml:space="preserve">Meridian Build and Design Pte Ltd</t>
  </si>
  <si>
    <t xml:space="preserve">Period:</t>
  </si>
  <si>
    <t xml:space="preserve">October 2025</t>
  </si>
  <si>
    <t xml:space="preserve">S/N</t>
  </si>
  <si>
    <t xml:space="preserve">Name</t>
  </si>
  <si>
    <t xml:space="preserve">NRIC/FIN</t>
  </si>
  <si>
    <t xml:space="preserve">Role</t>
  </si>
  <si>
    <t xml:space="preserve">Basic</t>
  </si>
  <si>
    <t xml:space="preserve">Allowance</t>
  </si>
  <si>
    <t xml:space="preserve">OT</t>
  </si>
  <si>
    <t xml:space="preserve">Bonus</t>
  </si>
  <si>
    <t xml:space="preserve">Gross</t>
  </si>
  <si>
    <t xml:space="preserve">Emp CPF</t>
  </si>
  <si>
    <t xml:space="preserve">Net</t>
  </si>
  <si>
    <t xml:space="preserve">Empr CPF</t>
  </si>
  <si>
    <t xml:space="preserve">SDL</t>
  </si>
  <si>
    <t xml:space="preserve">FWL</t>
  </si>
  <si>
    <t xml:space="preserve">Wong Jia Hui</t>
  </si>
  <si>
    <t xml:space="preserve">S4658012M</t>
  </si>
  <si>
    <t xml:space="preserve">Managing Director</t>
  </si>
  <si>
    <t xml:space="preserve">Anitha Nair</t>
  </si>
  <si>
    <t xml:space="preserve">T3952735C</t>
  </si>
  <si>
    <t xml:space="preserve">Project Manager</t>
  </si>
  <si>
    <t xml:space="preserve">Rajesh Chandran</t>
  </si>
  <si>
    <t xml:space="preserve">S3581130Q</t>
  </si>
  <si>
    <t xml:space="preserve">Yeo Mei Ling</t>
  </si>
  <si>
    <t xml:space="preserve">S6784102G</t>
  </si>
  <si>
    <t xml:space="preserve">Site Engineer</t>
  </si>
  <si>
    <t xml:space="preserve">Meenakshi Krishnan</t>
  </si>
  <si>
    <t xml:space="preserve">T0802117F</t>
  </si>
  <si>
    <t xml:space="preserve">Vikram Pillai</t>
  </si>
  <si>
    <t xml:space="preserve">T1378185M</t>
  </si>
  <si>
    <t xml:space="preserve">Quantity Surveyor</t>
  </si>
  <si>
    <t xml:space="preserve">Chua Yong Sheng</t>
  </si>
  <si>
    <t xml:space="preserve">S9009446T</t>
  </si>
  <si>
    <t xml:space="preserve">CAD Draftsman</t>
  </si>
  <si>
    <t xml:space="preserve">Chan Jun Jie</t>
  </si>
  <si>
    <t xml:space="preserve">T3457693U</t>
  </si>
  <si>
    <t xml:space="preserve">Safety Officer</t>
  </si>
  <si>
    <t xml:space="preserve">Maria Santos</t>
  </si>
  <si>
    <t xml:space="preserve">F3246338Q</t>
  </si>
  <si>
    <t xml:space="preserve">Site Supervisor</t>
  </si>
  <si>
    <t xml:space="preserve">Rohit Sharma</t>
  </si>
  <si>
    <t xml:space="preserve">F7377462R</t>
  </si>
  <si>
    <t xml:space="preserve">General Worker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</si>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</sst>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33C0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4" min="13" style="0" width="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customFormat="false" ht="15" hidden="false" customHeight="false" outlineLevel="0" collapsed="false">
      <c r="A4" s="0" t="n">
        <v>1</v>
      </c>
      <c r="B4" s="0" t="s">
        <v>18</v>
      </c>
      <c r="C4" s="0" t="s">
        <v>19</v>
      </c>
      <c r="D4" s="0" t="s">
        <v>20</v>
      </c>
      <c r="E4" s="2" t="n">
        <v>11000</v>
      </c>
      <c r="F4" s="2" t="n">
        <v>0</v>
      </c>
      <c r="G4" s="2" t="n">
        <v>0</v>
      </c>
      <c r="H4" s="2" t="n">
        <v>0</v>
      </c>
      <c r="I4" s="2" t="n">
        <f aca="false">SUM(E4:H4)</f>
        <v>11000</v>
      </c>
      <c r="J4" s="2" t="n">
        <v>1480</v>
      </c>
      <c r="K4" s="2" t="n">
        <f aca="false">I4-J4</f>
        <v>9520</v>
      </c>
      <c r="L4" s="2" t="n">
        <v>1258</v>
      </c>
      <c r="M4" s="2" t="n">
        <v>11.25</v>
      </c>
      <c r="N4" s="2" t="n">
        <v>0</v>
      </c>
    </row>
    <row r="5" customFormat="false" ht="15" hidden="false" customHeight="false" outlineLevel="0" collapsed="false">
      <c r="A5" s="0" t="n">
        <v>2</v>
      </c>
      <c r="B5" s="0" t="s">
        <v>21</v>
      </c>
      <c r="C5" s="0" t="s">
        <v>22</v>
      </c>
      <c r="D5" s="0" t="s">
        <v>23</v>
      </c>
      <c r="E5" s="2" t="n">
        <v>8200</v>
      </c>
      <c r="F5" s="2" t="n">
        <v>300</v>
      </c>
      <c r="G5" s="2" t="n">
        <v>0</v>
      </c>
      <c r="H5" s="2" t="n">
        <v>0</v>
      </c>
      <c r="I5" s="2" t="n">
        <f aca="false">SUM(E5:H5)</f>
        <v>8500</v>
      </c>
      <c r="J5" s="2" t="n">
        <v>1480</v>
      </c>
      <c r="K5" s="2" t="n">
        <f aca="false">I5-J5</f>
        <v>7020</v>
      </c>
      <c r="L5" s="2" t="n">
        <v>1258</v>
      </c>
      <c r="M5" s="2" t="n">
        <v>11.25</v>
      </c>
      <c r="N5" s="2" t="n">
        <v>0</v>
      </c>
    </row>
    <row r="6" customFormat="false" ht="15" hidden="false" customHeight="false" outlineLevel="0" collapsed="false">
      <c r="A6" s="0" t="n">
        <v>3</v>
      </c>
      <c r="B6" s="0" t="s">
        <v>24</v>
      </c>
      <c r="C6" s="0" t="s">
        <v>25</v>
      </c>
      <c r="D6" s="0" t="s">
        <v>23</v>
      </c>
      <c r="E6" s="2" t="n">
        <v>7800</v>
      </c>
      <c r="F6" s="2" t="n">
        <v>300</v>
      </c>
      <c r="G6" s="2" t="n">
        <v>0</v>
      </c>
      <c r="H6" s="2" t="n">
        <v>0</v>
      </c>
      <c r="I6" s="2" t="n">
        <f aca="false">SUM(E6:H6)</f>
        <v>8100</v>
      </c>
      <c r="J6" s="2" t="n">
        <v>1480</v>
      </c>
      <c r="K6" s="2" t="n">
        <f aca="false">I6-J6</f>
        <v>6620</v>
      </c>
      <c r="L6" s="2" t="n">
        <v>1258</v>
      </c>
      <c r="M6" s="2" t="n">
        <v>11.25</v>
      </c>
      <c r="N6" s="2" t="n">
        <v>0</v>
      </c>
    </row>
    <row r="7" customFormat="false" ht="15" hidden="false" customHeight="false" outlineLevel="0" collapsed="false">
      <c r="A7" s="0" t="n">
        <v>4</v>
      </c>
      <c r="B7" s="0" t="s">
        <v>26</v>
      </c>
      <c r="C7" s="0" t="s">
        <v>27</v>
      </c>
      <c r="D7" s="0" t="s">
        <v>28</v>
      </c>
      <c r="E7" s="2" t="n">
        <v>5600</v>
      </c>
      <c r="F7" s="2" t="n">
        <v>200</v>
      </c>
      <c r="G7" s="2" t="n">
        <v>0</v>
      </c>
      <c r="H7" s="2" t="n">
        <v>0</v>
      </c>
      <c r="I7" s="2" t="n">
        <f aca="false">SUM(E7:H7)</f>
        <v>5800</v>
      </c>
      <c r="J7" s="2" t="n">
        <v>1160</v>
      </c>
      <c r="K7" s="2" t="n">
        <f aca="false">I7-J7</f>
        <v>4640</v>
      </c>
      <c r="L7" s="2" t="n">
        <v>986</v>
      </c>
      <c r="M7" s="2" t="n">
        <v>0</v>
      </c>
      <c r="N7" s="2" t="n">
        <v>0</v>
      </c>
    </row>
    <row r="8" customFormat="false" ht="15" hidden="false" customHeight="false" outlineLevel="0" collapsed="false">
      <c r="A8" s="0" t="n">
        <v>5</v>
      </c>
      <c r="B8" s="0" t="s">
        <v>29</v>
      </c>
      <c r="C8" s="0" t="s">
        <v>30</v>
      </c>
      <c r="D8" s="0" t="s">
        <v>28</v>
      </c>
      <c r="E8" s="2" t="n">
        <v>5300</v>
      </c>
      <c r="F8" s="2" t="n">
        <v>200</v>
      </c>
      <c r="G8" s="2" t="n">
        <v>0</v>
      </c>
      <c r="H8" s="2" t="n">
        <v>0</v>
      </c>
      <c r="I8" s="2" t="n">
        <f aca="false">SUM(E8:H8)</f>
        <v>5500</v>
      </c>
      <c r="J8" s="2" t="n">
        <v>1100</v>
      </c>
      <c r="K8" s="2" t="n">
        <f aca="false">I8-J8</f>
        <v>4400</v>
      </c>
      <c r="L8" s="2" t="n">
        <v>935</v>
      </c>
      <c r="M8" s="2" t="n">
        <v>11.25</v>
      </c>
      <c r="N8" s="2" t="n">
        <v>0</v>
      </c>
    </row>
    <row r="9" customFormat="false" ht="15" hidden="false" customHeight="false" outlineLevel="0" collapsed="false">
      <c r="A9" s="0" t="n">
        <v>6</v>
      </c>
      <c r="B9" s="0" t="s">
        <v>31</v>
      </c>
      <c r="C9" s="0" t="s">
        <v>32</v>
      </c>
      <c r="D9" s="0" t="s">
        <v>33</v>
      </c>
      <c r="E9" s="2" t="n">
        <v>6200</v>
      </c>
      <c r="F9" s="2" t="n">
        <v>0</v>
      </c>
      <c r="G9" s="2" t="n">
        <v>0</v>
      </c>
      <c r="H9" s="2" t="n">
        <v>0</v>
      </c>
      <c r="I9" s="2" t="n">
        <f aca="false">SUM(E9:H9)</f>
        <v>6200</v>
      </c>
      <c r="J9" s="2" t="n">
        <v>1240</v>
      </c>
      <c r="K9" s="2" t="n">
        <f aca="false">I9-J9</f>
        <v>4960</v>
      </c>
      <c r="L9" s="2" t="n">
        <v>1054</v>
      </c>
      <c r="M9" s="2" t="n">
        <v>11.25</v>
      </c>
      <c r="N9" s="2" t="n">
        <v>0</v>
      </c>
    </row>
    <row r="10" customFormat="false" ht="15" hidden="false" customHeight="false" outlineLevel="0" collapsed="false">
      <c r="A10" s="0" t="n">
        <v>7</v>
      </c>
      <c r="B10" s="0" t="s">
        <v>34</v>
      </c>
      <c r="C10" s="0" t="s">
        <v>35</v>
      </c>
      <c r="D10" s="0" t="s">
        <v>36</v>
      </c>
      <c r="E10" s="2" t="n">
        <v>3900</v>
      </c>
      <c r="F10" s="2" t="n">
        <v>0</v>
      </c>
      <c r="G10" s="2" t="n">
        <v>0</v>
      </c>
      <c r="H10" s="2" t="n">
        <v>0</v>
      </c>
      <c r="I10" s="2" t="n">
        <f aca="false">SUM(E10:H10)</f>
        <v>3900</v>
      </c>
      <c r="J10" s="2" t="n">
        <v>780</v>
      </c>
      <c r="K10" s="2" t="n">
        <f aca="false">I10-J10</f>
        <v>3120</v>
      </c>
      <c r="L10" s="2" t="n">
        <v>663</v>
      </c>
      <c r="M10" s="2" t="n">
        <v>9.75</v>
      </c>
      <c r="N10" s="2" t="n">
        <v>0</v>
      </c>
    </row>
    <row r="11" customFormat="false" ht="15" hidden="false" customHeight="false" outlineLevel="0" collapsed="false">
      <c r="A11" s="0" t="n">
        <v>8</v>
      </c>
      <c r="B11" s="0" t="s">
        <v>37</v>
      </c>
      <c r="C11" s="0" t="s">
        <v>38</v>
      </c>
      <c r="D11" s="0" t="s">
        <v>39</v>
      </c>
      <c r="E11" s="2" t="n">
        <v>4600</v>
      </c>
      <c r="F11" s="2" t="n">
        <v>0</v>
      </c>
      <c r="G11" s="2" t="n">
        <v>0</v>
      </c>
      <c r="H11" s="2" t="n">
        <v>0</v>
      </c>
      <c r="I11" s="2" t="n">
        <f aca="false">SUM(E11:H11)</f>
        <v>4600</v>
      </c>
      <c r="J11" s="2" t="n">
        <v>782</v>
      </c>
      <c r="K11" s="2" t="n">
        <f aca="false">I11-J11</f>
        <v>3818</v>
      </c>
      <c r="L11" s="2" t="n">
        <v>713</v>
      </c>
      <c r="M11" s="2" t="n">
        <v>11.25</v>
      </c>
      <c r="N11" s="2" t="n">
        <v>0</v>
      </c>
    </row>
    <row r="12" customFormat="false" ht="15" hidden="false" customHeight="false" outlineLevel="0" collapsed="false">
      <c r="A12" s="0" t="n">
        <v>9</v>
      </c>
      <c r="B12" s="0" t="s">
        <v>40</v>
      </c>
      <c r="C12" s="0" t="s">
        <v>41</v>
      </c>
      <c r="D12" s="0" t="s">
        <v>42</v>
      </c>
      <c r="E12" s="2" t="n">
        <v>2300</v>
      </c>
      <c r="F12" s="2" t="n">
        <v>0</v>
      </c>
      <c r="G12" s="2" t="n">
        <v>488.55</v>
      </c>
      <c r="H12" s="2" t="n">
        <v>0</v>
      </c>
      <c r="I12" s="2" t="n">
        <f aca="false">SUM(E12:H12)</f>
        <v>2788.55</v>
      </c>
      <c r="J12" s="2" t="n">
        <v>0</v>
      </c>
      <c r="K12" s="2" t="n">
        <f aca="false">I12-J12</f>
        <v>2788.55</v>
      </c>
      <c r="L12" s="2" t="n">
        <v>0</v>
      </c>
      <c r="M12" s="2" t="n">
        <v>6.97</v>
      </c>
      <c r="N12" s="2" t="n">
        <v>650</v>
      </c>
    </row>
    <row r="13" customFormat="false" ht="15" hidden="false" customHeight="false" outlineLevel="0" collapsed="false">
      <c r="A13" s="0" t="n">
        <v>10</v>
      </c>
      <c r="B13" s="0" t="s">
        <v>43</v>
      </c>
      <c r="C13" s="0" t="s">
        <v>44</v>
      </c>
      <c r="D13" s="0" t="s">
        <v>45</v>
      </c>
      <c r="E13" s="2" t="n">
        <v>1500</v>
      </c>
      <c r="F13" s="2" t="n">
        <v>0</v>
      </c>
      <c r="G13" s="2" t="n">
        <v>129.81</v>
      </c>
      <c r="H13" s="2" t="n">
        <v>0</v>
      </c>
      <c r="I13" s="2" t="n">
        <f aca="false">SUM(E13:H13)</f>
        <v>1629.81</v>
      </c>
      <c r="J13" s="2" t="n">
        <v>0</v>
      </c>
      <c r="K13" s="2" t="n">
        <f aca="false">I13-J13</f>
        <v>1629.81</v>
      </c>
      <c r="L13" s="2" t="n">
        <v>0</v>
      </c>
      <c r="M13" s="2" t="n">
        <v>4.07</v>
      </c>
      <c r="N13" s="2" t="n">
        <v>650</v>
      </c>
    </row>
    <row r="14" customFormat="false" ht="15" hidden="false" customHeight="false" outlineLevel="0" collapsed="false">
      <c r="B14" s="3" t="s">
        <v>46</v>
      </c>
      <c r="E14" s="4" t="n">
        <f aca="false">SUM(E4:E13)</f>
        <v>56400</v>
      </c>
      <c r="F14" s="4" t="n">
        <f aca="false">SUM(F4:F13)</f>
        <v>1000</v>
      </c>
      <c r="G14" s="4" t="n">
        <f aca="false">SUM(G4:G13)</f>
        <v>618.36</v>
      </c>
      <c r="H14" s="4" t="n">
        <f aca="false">SUM(H4:H13)</f>
        <v>0</v>
      </c>
      <c r="I14" s="4" t="n">
        <f aca="false">SUM(I4:I13)</f>
        <v>58018.36</v>
      </c>
      <c r="J14" s="4" t="n">
        <f aca="false">SUM(J4:J13)</f>
        <v>9502</v>
      </c>
      <c r="K14" s="4" t="n">
        <f aca="false">SUM(K4:K13)</f>
        <v>48516.36</v>
      </c>
      <c r="L14" s="4" t="n">
        <f aca="false">SUM(L4:L13)</f>
        <v>8125</v>
      </c>
      <c r="M14" s="4" t="n">
        <f aca="false">SUM(M4:M13)</f>
        <v>88.29</v>
      </c>
      <c r="N14" s="4" t="n">
        <f aca="false">SUM(N4:N13)</f>
        <v>1300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2026-10-09T04:42:59Z</dcterms:created>
  <dc:creator>openpyxl</dc:creator>
  <dc:description/>
  <dc:language>en-US</dc:language>
  <cp:lastModifiedBy/>
  <dcterms:modified xsi:type="dcterms:W3CDTF">2026-10-09T04:42:59Z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